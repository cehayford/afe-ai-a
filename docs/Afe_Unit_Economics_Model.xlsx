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Unit economics" sheetId="3" state="visible" r:id="rId5"/>
    <sheet name="Proj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<sst xmlns="http://schemas.openxmlformats.org/spreadsheetml/2006/main" count="184" uniqueCount="159">
  <si>
    <t xml:space="preserve">Afe — unit economics and viability model</t>
  </si>
  <si>
    <t xml:space="preserve">Companion to Afe Project Statement v3.3, Section 12 (Business model and viability)</t>
  </si>
  <si>
    <t xml:space="preserve">EVERY NUMBER IN THIS MODEL IS A PLACEHOLDER.</t>
  </si>
  <si>
    <t xml:space="preserve">The figures carried over from the project documents are the 3.5% platform fee (architecture.md, page-structure.md)</t>
  </si>
  <si>
    <t xml:space="preserve">and the USD 50/month premium agent subscription (page-structure.md). Everything else — rents, volumes, costs,</t>
  </si>
  <si>
    <t xml:space="preserve">growth rates — is illustrative and must be replaced with the numbers from the viability and monetization analysis.</t>
  </si>
  <si>
    <t xml:space="preserve">How to use it</t>
  </si>
  <si>
    <t xml:space="preserve">1. Open the Inputs sheet. Every cell with a yellow fill and blue text is yours to change. Nothing else should be edited.</t>
  </si>
  <si>
    <t xml:space="preserve">2. Unit economics shows what one escrow transaction and one subscribed agent are worth after costs.</t>
  </si>
  <si>
    <t xml:space="preserve">3. Projection runs 24 months from kick-off and shows the month the business turns cash-positive.</t>
  </si>
  <si>
    <t xml:space="preserve">4. Black text is a formula. Green text is a link to another sheet. Do not type over either.</t>
  </si>
  <si>
    <t xml:space="preserve">Questions this model is meant to answer</t>
  </si>
  <si>
    <t xml:space="preserve">• Does one completed rental cover what it costs to verify the property, the landlord and the tenant?</t>
  </si>
  <si>
    <t xml:space="preserve">• How many transactions a month are needed before the platform covers its fixed costs?</t>
  </si>
  <si>
    <t xml:space="preserve">• How much does leakage — deals that move off-platform to avoid the fee — cost, and at what point does it sink the model?</t>
  </si>
  <si>
    <t xml:space="preserve">• How long does the funding last at the planned team size?</t>
  </si>
  <si>
    <t xml:space="preserve">Open decisions this model depends on (Statement Section 15)</t>
  </si>
  <si>
    <t xml:space="preserve">D6  Platform fee level and who pays it — tenant, landlord or split.</t>
  </si>
  <si>
    <t xml:space="preserve">D7  Business model: which revenue streams run at launch.</t>
  </si>
  <si>
    <t xml:space="preserve">D22 Premium agent subscription price in GHS.</t>
  </si>
  <si>
    <t xml:space="preserve">D23 Funding position and runway.</t>
  </si>
  <si>
    <t xml:space="preserve">Inputs</t>
  </si>
  <si>
    <t xml:space="preserve">Yellow cells with blue text are yours to edit. Replace every one with a figure from the viability analysis.</t>
  </si>
  <si>
    <t xml:space="preserve">Pricing</t>
  </si>
  <si>
    <t xml:space="preserve">Value</t>
  </si>
  <si>
    <t xml:space="preserve">Note / source</t>
  </si>
  <si>
    <t xml:space="preserve">Platform fee on escrowed amount</t>
  </si>
  <si>
    <t xml:space="preserve">From architecture.md and page-structure.md. RFC-002 says 2.5% — one rate must win (D6).</t>
  </si>
  <si>
    <t xml:space="preserve">Premium agent subscription (GHS / month)</t>
  </si>
  <si>
    <t xml:space="preserve">page-structure.md says USD 50/month. Check against what Ghana agents will pay (D22).</t>
  </si>
  <si>
    <t xml:space="preserve">Featured listing fee (GHS, each)</t>
  </si>
  <si>
    <t xml:space="preserve">Release 2 revenue stream. Illustrative.</t>
  </si>
  <si>
    <t xml:space="preserve">Transaction size</t>
  </si>
  <si>
    <t xml:space="preserve">Average monthly rent (GHS)</t>
  </si>
  <si>
    <t xml:space="preserve">ILLUSTRATIVE — replace with real Accra/Kumasi data.</t>
  </si>
  <si>
    <t xml:space="preserve">Months of advance rent escrowed</t>
  </si>
  <si>
    <t xml:space="preserve">Act 220 cap for tenancies over six months.</t>
  </si>
  <si>
    <t xml:space="preserve">Deposit months escrowed</t>
  </si>
  <si>
    <t xml:space="preserve">ILLUSTRATIVE.</t>
  </si>
  <si>
    <t xml:space="preserve">Average escrowed amount (GHS)</t>
  </si>
  <si>
    <t xml:space="preserve">Calculated — do not edit.</t>
  </si>
  <si>
    <t xml:space="preserve">Cost per transaction</t>
  </si>
  <si>
    <t xml:space="preserve">Payment gateway fee (% of amount)</t>
  </si>
  <si>
    <t xml:space="preserve">Confirm with Hubtel / Paystack (D4). architecture.md says 1.5–2.0%.</t>
  </si>
  <si>
    <t xml:space="preserve">Identity checks (GHS per transaction)</t>
  </si>
  <si>
    <t xml:space="preserve">Ghana Card + agent licence lookups. ILLUSTRATIVE.</t>
  </si>
  <si>
    <t xml:space="preserve">SMS and notifications (GHS per transaction)</t>
  </si>
  <si>
    <t xml:space="preserve">Review, support and disputes (GHS per transaction)</t>
  </si>
  <si>
    <t xml:space="preserve">Reviewer time on the listing and any dispute. ILLUSTRATIVE.</t>
  </si>
  <si>
    <t xml:space="preserve">Storage and image delivery (GHS per transaction)</t>
  </si>
  <si>
    <t xml:space="preserve">S3 + CloudFront share. ILLUSTRATIVE.</t>
  </si>
  <si>
    <t xml:space="preserve">Cost per subscribed agent</t>
  </si>
  <si>
    <t xml:space="preserve">Support and servicing (GHS / month)</t>
  </si>
  <si>
    <t xml:space="preserve">Volumes and growth</t>
  </si>
  <si>
    <t xml:space="preserve">First month with live revenue</t>
  </si>
  <si>
    <t xml:space="preserve">Statement Section 11: Ghana launch around week 28.</t>
  </si>
  <si>
    <t xml:space="preserve">Escrow transactions in the first revenue month</t>
  </si>
  <si>
    <t xml:space="preserve">Monthly growth in transactions</t>
  </si>
  <si>
    <t xml:space="preserve">Share of deals that actually use escrow</t>
  </si>
  <si>
    <t xml:space="preserve">The rest leak off-platform. The single most important number here.</t>
  </si>
  <si>
    <t xml:space="preserve">Subscribed agents in the first revenue month</t>
  </si>
  <si>
    <t xml:space="preserve">Monthly growth in subscribed agents</t>
  </si>
  <si>
    <t xml:space="preserve">Featured listings sold per month (from month 13)</t>
  </si>
  <si>
    <t xml:space="preserve">Release 2. Leave at 0 until it ships.</t>
  </si>
  <si>
    <t xml:space="preserve">Fixed monthly costs</t>
  </si>
  <si>
    <t xml:space="preserve">Team (GHS / month, all salaries)</t>
  </si>
  <si>
    <t xml:space="preserve">Statement Section 13 team. ILLUSTRATIVE — re-cost against Ghana rates.</t>
  </si>
  <si>
    <t xml:space="preserve">Infrastructure (GHS / month)</t>
  </si>
  <si>
    <t xml:space="preserve">AWS, from the cost tables in architecture.md. ILLUSTRATIVE.</t>
  </si>
  <si>
    <t xml:space="preserve">Legal and compliance (GHS / month)</t>
  </si>
  <si>
    <t xml:space="preserve">Counsel retainer, DPC registration. ILLUSTRATIVE.</t>
  </si>
  <si>
    <t xml:space="preserve">Marketing and agent acquisition (GHS / month)</t>
  </si>
  <si>
    <t xml:space="preserve">Other overheads (GHS / month)</t>
  </si>
  <si>
    <t xml:space="preserve">Office, tools, accounting. ILLUSTRATIVE.</t>
  </si>
  <si>
    <t xml:space="preserve">Total fixed costs (GHS / month)</t>
  </si>
  <si>
    <t xml:space="preserve">Funding</t>
  </si>
  <si>
    <t xml:space="preserve">Cash available at kick-off (GHS)</t>
  </si>
  <si>
    <t xml:space="preserve">ILLUSTRATIVE — replace with the real position (D23).</t>
  </si>
  <si>
    <t xml:space="preserve">GHS per USD</t>
  </si>
  <si>
    <t xml:space="preserve">For reporting only. Update to the current rate.</t>
  </si>
  <si>
    <t xml:space="preserve">Unit economics</t>
  </si>
  <si>
    <t xml:space="preserve">What one completed rental and one subscribed agent are worth after direct costs.</t>
  </si>
  <si>
    <t xml:space="preserve">One escrow transaction</t>
  </si>
  <si>
    <t xml:space="preserve">Escrowed amount</t>
  </si>
  <si>
    <t xml:space="preserve">Advance rent plus deposit</t>
  </si>
  <si>
    <t xml:space="preserve">Platform fee revenue</t>
  </si>
  <si>
    <t xml:space="preserve">Deducted when escrow is released</t>
  </si>
  <si>
    <t xml:space="preserve">Payment gateway cost</t>
  </si>
  <si>
    <t xml:space="preserve">Charged on the full amount moved</t>
  </si>
  <si>
    <t xml:space="preserve">Identity checks</t>
  </si>
  <si>
    <t xml:space="preserve">SMS and notifications</t>
  </si>
  <si>
    <t xml:space="preserve">Review, support and disputes</t>
  </si>
  <si>
    <t xml:space="preserve">Storage and image delivery</t>
  </si>
  <si>
    <t xml:space="preserve">Contribution per transaction</t>
  </si>
  <si>
    <t xml:space="preserve">Negative means every completed rental loses money</t>
  </si>
  <si>
    <t xml:space="preserve">Contribution margin on fee revenue</t>
  </si>
  <si>
    <t xml:space="preserve">Below zero: the gateway and checks cost more than the fee</t>
  </si>
  <si>
    <t xml:space="preserve">One subscribed agent</t>
  </si>
  <si>
    <t xml:space="preserve">Subscription revenue (per month)</t>
  </si>
  <si>
    <t xml:space="preserve">Support and servicing</t>
  </si>
  <si>
    <t xml:space="preserve">Contribution per agent per month</t>
  </si>
  <si>
    <t xml:space="preserve">Sanity checks</t>
  </si>
  <si>
    <t xml:space="preserve">Fee as a share of one month's rent</t>
  </si>
  <si>
    <t xml:space="preserve">If this is near or above one month's rent, expect heavy leakage</t>
  </si>
  <si>
    <t xml:space="preserve">Transactions needed to cover fixed costs (no subscriptions)</t>
  </si>
  <si>
    <t xml:space="preserve">Compare with the Projection sheet</t>
  </si>
  <si>
    <t xml:space="preserve">Contribution per transaction (USD)</t>
  </si>
  <si>
    <t xml:space="preserve">For investor conversations</t>
  </si>
  <si>
    <t xml:space="preserve">24-month projection</t>
  </si>
  <si>
    <t xml:space="preserve">Month 1 is kick-off. Revenue starts in the launch month set on the Inputs sheet.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</si>
  <si>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</si>
  <si>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</si>
  <si>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</si>
  <si>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</si>
  <si>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</si>
  <si>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</si>
  <si>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</si>
  <si>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</si>
  <si>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</si>
  <si>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</si>
  <si>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</si>
  <si>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</si>
  <si>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</si>
  <si>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</si>
  <si>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</si>
  <si>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</si>
  <si>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</si>
  <si>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</si>
  <si>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</si>
  <si>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</si>
  <si>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</si>
  <si>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</si>
  <si>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</si>
  <si>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</si>
  <si>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</si>
  <si>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Months since launch</t>
  </si>
  <si>
    <t xml:space="preserve">Escrow transactions</t>
  </si>
  <si>
    <t xml:space="preserve">Subscribed agents</t>
  </si>
  <si>
    <t xml:space="preserve">Featured listings sold</t>
  </si>
  <si>
    <t xml:space="preserve">Revenue (GHS)</t>
  </si>
  <si>
    <t xml:space="preserve">Transaction fees</t>
  </si>
  <si>
    <t xml:space="preserve">Agent subscriptions</t>
  </si>
  <si>
    <t xml:space="preserve">Featured listings</t>
  </si>
  <si>
    <t xml:space="preserve">Total revenue</t>
  </si>
  <si>
    <t xml:space="preserve">Costs (GHS)</t>
  </si>
  <si>
    <t xml:space="preserve">Variable cost of transactions</t>
  </si>
  <si>
    <t xml:space="preserve">Cost of serving agents</t>
  </si>
  <si>
    <t xml:space="preserve">Fixed costs</t>
  </si>
  <si>
    <t xml:space="preserve">Total costs</t>
  </si>
  <si>
    <t xml:space="preserve">Monthly profit / loss</t>
  </si>
  <si>
    <t xml:space="preserve">Cash balance</t>
  </si>
  <si>
    <t xml:space="preserve">Summary</t>
  </si>
  <si>
    <t xml:space="preserve">First profitable month</t>
  </si>
  <si>
    <t xml:space="preserve">Cash at month 24</t>
  </si>
  <si>
    <t xml:space="preserve">Lowest cash balance</t>
  </si>
  <si>
    <t xml:space="preserve">Revenue in month 24</t>
  </si>
  <si>
    <t xml:space="preserve">Revenue in month 24 (USD)</t>
  </si>
  <si>
    <t xml:space="preserve">Total transactions over 24 months</t>
  </si>
  <si>
    <t xml:space="preserve">Every figure here follows from the Inputs sheet. Replace the placeholders before showing this to anyone.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</si>
</sst>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&quot;GHS &quot;#,##0;&quot;(GHS &quot;#,##0\);\-"/>
    <numFmt numFmtId="167" formatCode="#,##0;\(#,##0\);\-"/>
    <numFmt numFmtId="168" formatCode="#,##0.00"/>
    <numFmt numFmtId="169" formatCode="\$#,##0.00"/>
    <numFmt numFmtId="170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6B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B5C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7F2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1"/>
      </left>
      <right style="thin">
        <color rgb="FFC9D3D1"/>
      </right>
      <top style="thin">
        <color rgb="FFC9D3D1"/>
      </top>
      <bottom style="thin">
        <color rgb="FFC9D3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5C"/>
      <rgbColor rgb="FFC0C0C0"/>
      <rgbColor rgb="FF808080"/>
      <rgbColor rgb="FF9999FF"/>
      <rgbColor rgb="FF993366"/>
      <rgbColor rgb="FFFFFFCC"/>
      <rgbColor rgb="FFE7F2EF"/>
      <rgbColor rgb="FF660066"/>
      <rgbColor rgb="FFFF8080"/>
      <rgbColor rgb="FF0066CC"/>
      <rgbColor rgb="FFC9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5" t="s">
        <v>21</v>
      </c>
    </row>
    <row r="3" customFormat="false" ht="15" hidden="false" customHeight="false" outlineLevel="0" collapsed="false">
      <c r="B3" s="6" t="s">
        <v>22</v>
      </c>
    </row>
    <row r="5" customFormat="false" ht="15" hidden="false" customHeight="false" outlineLevel="0" collapsed="false">
      <c r="B5" s="7" t="s">
        <v>23</v>
      </c>
      <c r="C5" s="7" t="s">
        <v>24</v>
      </c>
      <c r="D5" s="7" t="s">
        <v>25</v>
      </c>
    </row>
    <row r="6" customFormat="false" ht="15" hidden="false" customHeight="false" outlineLevel="0" collapsed="false">
      <c r="B6" s="8" t="s">
        <v>26</v>
      </c>
      <c r="C6" s="9" t="n">
        <v>0.035</v>
      </c>
      <c r="D6" s="10" t="s">
        <v>27</v>
      </c>
    </row>
    <row r="7" customFormat="false" ht="15" hidden="false" customHeight="false" outlineLevel="0" collapsed="false">
      <c r="B7" s="8" t="s">
        <v>28</v>
      </c>
      <c r="C7" s="11" t="n">
        <v>600</v>
      </c>
      <c r="D7" s="10" t="s">
        <v>29</v>
      </c>
    </row>
    <row r="8" customFormat="false" ht="15" hidden="false" customHeight="false" outlineLevel="0" collapsed="false">
      <c r="B8" s="8" t="s">
        <v>30</v>
      </c>
      <c r="C8" s="11" t="n">
        <v>150</v>
      </c>
      <c r="D8" s="10" t="s">
        <v>31</v>
      </c>
    </row>
    <row r="10" customFormat="false" ht="15" hidden="false" customHeight="false" outlineLevel="0" collapsed="false">
      <c r="B10" s="7" t="s">
        <v>32</v>
      </c>
      <c r="C10" s="7" t="s">
        <v>24</v>
      </c>
      <c r="D10" s="7" t="s">
        <v>25</v>
      </c>
    </row>
    <row r="11" customFormat="false" ht="15" hidden="false" customHeight="false" outlineLevel="0" collapsed="false">
      <c r="B11" s="8" t="s">
        <v>33</v>
      </c>
      <c r="C11" s="11" t="n">
        <v>2000</v>
      </c>
      <c r="D11" s="10" t="s">
        <v>34</v>
      </c>
    </row>
    <row r="12" customFormat="false" ht="15" hidden="false" customHeight="false" outlineLevel="0" collapsed="false">
      <c r="B12" s="8" t="s">
        <v>35</v>
      </c>
      <c r="C12" s="12" t="n">
        <v>6</v>
      </c>
      <c r="D12" s="10" t="s">
        <v>36</v>
      </c>
    </row>
    <row r="13" customFormat="false" ht="15" hidden="false" customHeight="false" outlineLevel="0" collapsed="false">
      <c r="B13" s="8" t="s">
        <v>37</v>
      </c>
      <c r="C13" s="12" t="n">
        <v>1</v>
      </c>
      <c r="D13" s="10" t="s">
        <v>38</v>
      </c>
    </row>
    <row r="14" customFormat="false" ht="15" hidden="false" customHeight="false" outlineLevel="0" collapsed="false">
      <c r="B14" s="13" t="s">
        <v>39</v>
      </c>
      <c r="C14" s="14" t="n">
        <f aca="false">$C$11*($C$12+$C$13)</f>
        <v>14000</v>
      </c>
      <c r="D14" s="6" t="s">
        <v>40</v>
      </c>
    </row>
    <row r="16" customFormat="false" ht="15" hidden="false" customHeight="false" outlineLevel="0" collapsed="false">
      <c r="B16" s="7" t="s">
        <v>41</v>
      </c>
      <c r="C16" s="7" t="s">
        <v>24</v>
      </c>
      <c r="D16" s="7" t="s">
        <v>25</v>
      </c>
    </row>
    <row r="17" customFormat="false" ht="15" hidden="false" customHeight="false" outlineLevel="0" collapsed="false">
      <c r="B17" s="8" t="s">
        <v>42</v>
      </c>
      <c r="C17" s="9" t="n">
        <v>0.018</v>
      </c>
      <c r="D17" s="10" t="s">
        <v>43</v>
      </c>
    </row>
    <row r="18" customFormat="false" ht="15" hidden="false" customHeight="false" outlineLevel="0" collapsed="false">
      <c r="B18" s="8" t="s">
        <v>44</v>
      </c>
      <c r="C18" s="11" t="n">
        <v>8</v>
      </c>
      <c r="D18" s="10" t="s">
        <v>45</v>
      </c>
    </row>
    <row r="19" customFormat="false" ht="15" hidden="false" customHeight="false" outlineLevel="0" collapsed="false">
      <c r="B19" s="8" t="s">
        <v>46</v>
      </c>
      <c r="C19" s="11" t="n">
        <v>3</v>
      </c>
      <c r="D19" s="10" t="s">
        <v>38</v>
      </c>
    </row>
    <row r="20" customFormat="false" ht="15" hidden="false" customHeight="false" outlineLevel="0" collapsed="false">
      <c r="B20" s="8" t="s">
        <v>47</v>
      </c>
      <c r="C20" s="11" t="n">
        <v>25</v>
      </c>
      <c r="D20" s="10" t="s">
        <v>48</v>
      </c>
    </row>
    <row r="21" customFormat="false" ht="15" hidden="false" customHeight="false" outlineLevel="0" collapsed="false">
      <c r="B21" s="8" t="s">
        <v>49</v>
      </c>
      <c r="C21" s="11" t="n">
        <v>2</v>
      </c>
      <c r="D21" s="10" t="s">
        <v>50</v>
      </c>
    </row>
    <row r="23" customFormat="false" ht="15" hidden="false" customHeight="false" outlineLevel="0" collapsed="false">
      <c r="B23" s="7" t="s">
        <v>51</v>
      </c>
      <c r="C23" s="7" t="s">
        <v>24</v>
      </c>
      <c r="D23" s="7" t="s">
        <v>25</v>
      </c>
    </row>
    <row r="24" customFormat="false" ht="15" hidden="false" customHeight="false" outlineLevel="0" collapsed="false">
      <c r="B24" s="8" t="s">
        <v>52</v>
      </c>
      <c r="C24" s="11" t="n">
        <v>40</v>
      </c>
      <c r="D24" s="10" t="s">
        <v>38</v>
      </c>
    </row>
    <row r="26" customFormat="false" ht="15" hidden="false" customHeight="false" outlineLevel="0" collapsed="false">
      <c r="B26" s="7" t="s">
        <v>53</v>
      </c>
      <c r="C26" s="7" t="s">
        <v>24</v>
      </c>
      <c r="D26" s="7" t="s">
        <v>25</v>
      </c>
    </row>
    <row r="27" customFormat="false" ht="15" hidden="false" customHeight="false" outlineLevel="0" collapsed="false">
      <c r="B27" s="8" t="s">
        <v>54</v>
      </c>
      <c r="C27" s="12" t="n">
        <v>7</v>
      </c>
      <c r="D27" s="10" t="s">
        <v>55</v>
      </c>
    </row>
    <row r="28" customFormat="false" ht="15" hidden="false" customHeight="false" outlineLevel="0" collapsed="false">
      <c r="B28" s="8" t="s">
        <v>56</v>
      </c>
      <c r="C28" s="12" t="n">
        <v>15</v>
      </c>
      <c r="D28" s="10" t="s">
        <v>38</v>
      </c>
    </row>
    <row r="29" customFormat="false" ht="15" hidden="false" customHeight="false" outlineLevel="0" collapsed="false">
      <c r="B29" s="8" t="s">
        <v>57</v>
      </c>
      <c r="C29" s="9" t="n">
        <v>0.2</v>
      </c>
      <c r="D29" s="10" t="s">
        <v>38</v>
      </c>
    </row>
    <row r="30" customFormat="false" ht="15" hidden="false" customHeight="false" outlineLevel="0" collapsed="false">
      <c r="B30" s="8" t="s">
        <v>58</v>
      </c>
      <c r="C30" s="9" t="n">
        <v>0.6</v>
      </c>
      <c r="D30" s="10" t="s">
        <v>59</v>
      </c>
    </row>
    <row r="31" customFormat="false" ht="15" hidden="false" customHeight="false" outlineLevel="0" collapsed="false">
      <c r="B31" s="8" t="s">
        <v>60</v>
      </c>
      <c r="C31" s="12" t="n">
        <v>10</v>
      </c>
      <c r="D31" s="10" t="s">
        <v>38</v>
      </c>
    </row>
    <row r="32" customFormat="false" ht="15" hidden="false" customHeight="false" outlineLevel="0" collapsed="false">
      <c r="B32" s="8" t="s">
        <v>61</v>
      </c>
      <c r="C32" s="9" t="n">
        <v>0.15</v>
      </c>
      <c r="D32" s="10" t="s">
        <v>38</v>
      </c>
    </row>
    <row r="33" customFormat="false" ht="15" hidden="false" customHeight="false" outlineLevel="0" collapsed="false">
      <c r="B33" s="8" t="s">
        <v>62</v>
      </c>
      <c r="C33" s="12" t="n">
        <v>0</v>
      </c>
      <c r="D33" s="10" t="s">
        <v>63</v>
      </c>
    </row>
    <row r="35" customFormat="false" ht="15" hidden="false" customHeight="false" outlineLevel="0" collapsed="false">
      <c r="B35" s="7" t="s">
        <v>64</v>
      </c>
      <c r="C35" s="7" t="s">
        <v>24</v>
      </c>
      <c r="D35" s="7" t="s">
        <v>25</v>
      </c>
    </row>
    <row r="36" customFormat="false" ht="15" hidden="false" customHeight="false" outlineLevel="0" collapsed="false">
      <c r="B36" s="8" t="s">
        <v>65</v>
      </c>
      <c r="C36" s="11" t="n">
        <v>60000</v>
      </c>
      <c r="D36" s="10" t="s">
        <v>66</v>
      </c>
    </row>
    <row r="37" customFormat="false" ht="15" hidden="false" customHeight="false" outlineLevel="0" collapsed="false">
      <c r="B37" s="8" t="s">
        <v>67</v>
      </c>
      <c r="C37" s="11" t="n">
        <v>6000</v>
      </c>
      <c r="D37" s="10" t="s">
        <v>68</v>
      </c>
    </row>
    <row r="38" customFormat="false" ht="15" hidden="false" customHeight="false" outlineLevel="0" collapsed="false">
      <c r="B38" s="8" t="s">
        <v>69</v>
      </c>
      <c r="C38" s="11" t="n">
        <v>5000</v>
      </c>
      <c r="D38" s="10" t="s">
        <v>70</v>
      </c>
    </row>
    <row r="39" customFormat="false" ht="15" hidden="false" customHeight="false" outlineLevel="0" collapsed="false">
      <c r="B39" s="8" t="s">
        <v>71</v>
      </c>
      <c r="C39" s="11" t="n">
        <v>10000</v>
      </c>
      <c r="D39" s="10" t="s">
        <v>38</v>
      </c>
    </row>
    <row r="40" customFormat="false" ht="15" hidden="false" customHeight="false" outlineLevel="0" collapsed="false">
      <c r="B40" s="8" t="s">
        <v>72</v>
      </c>
      <c r="C40" s="11" t="n">
        <v>4000</v>
      </c>
      <c r="D40" s="10" t="s">
        <v>73</v>
      </c>
    </row>
    <row r="41" customFormat="false" ht="15" hidden="false" customHeight="false" outlineLevel="0" collapsed="false">
      <c r="B41" s="13" t="s">
        <v>74</v>
      </c>
      <c r="C41" s="14" t="n">
        <f aca="false">SUM(C36:C40)</f>
        <v>85000</v>
      </c>
    </row>
    <row r="43" customFormat="false" ht="15" hidden="false" customHeight="false" outlineLevel="0" collapsed="false">
      <c r="B43" s="7" t="s">
        <v>75</v>
      </c>
      <c r="C43" s="7" t="s">
        <v>24</v>
      </c>
      <c r="D43" s="7" t="s">
        <v>25</v>
      </c>
    </row>
    <row r="44" customFormat="false" ht="15" hidden="false" customHeight="false" outlineLevel="0" collapsed="false">
      <c r="B44" s="8" t="s">
        <v>76</v>
      </c>
      <c r="C44" s="11" t="n">
        <v>400000</v>
      </c>
      <c r="D44" s="10" t="s">
        <v>77</v>
      </c>
    </row>
    <row r="45" customFormat="false" ht="15" hidden="false" customHeight="false" outlineLevel="0" collapsed="false">
      <c r="B45" s="8" t="s">
        <v>78</v>
      </c>
      <c r="C45" s="15" t="n">
        <v>12</v>
      </c>
      <c r="D45" s="1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58"/>
  </cols>
  <sheetData>
    <row r="2" customFormat="false" ht="17.35" hidden="false" customHeight="false" outlineLevel="0" collapsed="false">
      <c r="B2" s="5" t="s">
        <v>80</v>
      </c>
    </row>
    <row r="3" customFormat="false" ht="15" hidden="false" customHeight="false" outlineLevel="0" collapsed="false">
      <c r="B3" s="6" t="s">
        <v>81</v>
      </c>
    </row>
    <row r="5" customFormat="false" ht="15" hidden="false" customHeight="false" outlineLevel="0" collapsed="false">
      <c r="B5" s="7" t="s">
        <v>82</v>
      </c>
      <c r="C5" s="7" t="s">
        <v>24</v>
      </c>
      <c r="D5" s="7" t="s">
        <v>25</v>
      </c>
    </row>
    <row r="6" customFormat="false" ht="15" hidden="false" customHeight="false" outlineLevel="0" collapsed="false">
      <c r="B6" s="8" t="s">
        <v>83</v>
      </c>
      <c r="C6" s="16" t="n">
        <f aca="false">Inputs!$C$14</f>
        <v>14000</v>
      </c>
      <c r="D6" s="10" t="s">
        <v>84</v>
      </c>
    </row>
    <row r="7" customFormat="false" ht="15" hidden="false" customHeight="false" outlineLevel="0" collapsed="false">
      <c r="B7" s="8" t="s">
        <v>85</v>
      </c>
      <c r="C7" s="14" t="n">
        <f aca="false">C6*Inputs!$C$6</f>
        <v>490</v>
      </c>
      <c r="D7" s="10" t="s">
        <v>86</v>
      </c>
    </row>
    <row r="8" customFormat="false" ht="15" hidden="false" customHeight="false" outlineLevel="0" collapsed="false">
      <c r="B8" s="8" t="s">
        <v>87</v>
      </c>
      <c r="C8" s="14" t="n">
        <f aca="false">-C6*Inputs!$C$17</f>
        <v>-252</v>
      </c>
      <c r="D8" s="10" t="s">
        <v>88</v>
      </c>
    </row>
    <row r="9" customFormat="false" ht="15" hidden="false" customHeight="false" outlineLevel="0" collapsed="false">
      <c r="B9" s="8" t="s">
        <v>89</v>
      </c>
      <c r="C9" s="16" t="n">
        <f aca="false">-Inputs!$C$18</f>
        <v>-8</v>
      </c>
      <c r="D9" s="10"/>
    </row>
    <row r="10" customFormat="false" ht="15" hidden="false" customHeight="false" outlineLevel="0" collapsed="false">
      <c r="B10" s="8" t="s">
        <v>90</v>
      </c>
      <c r="C10" s="16" t="n">
        <f aca="false">-Inputs!$C$19</f>
        <v>-3</v>
      </c>
      <c r="D10" s="10"/>
    </row>
    <row r="11" customFormat="false" ht="15" hidden="false" customHeight="false" outlineLevel="0" collapsed="false">
      <c r="B11" s="8" t="s">
        <v>91</v>
      </c>
      <c r="C11" s="16" t="n">
        <f aca="false">-Inputs!$C$20</f>
        <v>-25</v>
      </c>
      <c r="D11" s="10"/>
    </row>
    <row r="12" customFormat="false" ht="15" hidden="false" customHeight="false" outlineLevel="0" collapsed="false">
      <c r="B12" s="8" t="s">
        <v>92</v>
      </c>
      <c r="C12" s="16" t="n">
        <f aca="false">-Inputs!$C$21</f>
        <v>-2</v>
      </c>
      <c r="D12" s="10"/>
    </row>
    <row r="13" customFormat="false" ht="15" hidden="false" customHeight="false" outlineLevel="0" collapsed="false">
      <c r="B13" s="17" t="s">
        <v>93</v>
      </c>
      <c r="C13" s="18" t="n">
        <f aca="false">SUM(C7:C12)</f>
        <v>200</v>
      </c>
      <c r="D13" s="10" t="s">
        <v>94</v>
      </c>
    </row>
    <row r="14" customFormat="false" ht="15" hidden="false" customHeight="false" outlineLevel="0" collapsed="false">
      <c r="B14" s="8" t="s">
        <v>95</v>
      </c>
      <c r="C14" s="19" t="n">
        <f aca="false">IFERROR(C13/C7,0)</f>
        <v>0.408163265306123</v>
      </c>
      <c r="D14" s="10" t="s">
        <v>96</v>
      </c>
    </row>
    <row r="16" customFormat="false" ht="15" hidden="false" customHeight="false" outlineLevel="0" collapsed="false">
      <c r="B16" s="7" t="s">
        <v>97</v>
      </c>
      <c r="C16" s="7" t="s">
        <v>24</v>
      </c>
      <c r="D16" s="7" t="s">
        <v>25</v>
      </c>
    </row>
    <row r="17" customFormat="false" ht="15" hidden="false" customHeight="false" outlineLevel="0" collapsed="false">
      <c r="B17" s="8" t="s">
        <v>98</v>
      </c>
      <c r="C17" s="16" t="n">
        <f aca="false">Inputs!$C$7</f>
        <v>600</v>
      </c>
      <c r="D17" s="10"/>
    </row>
    <row r="18" customFormat="false" ht="15" hidden="false" customHeight="false" outlineLevel="0" collapsed="false">
      <c r="B18" s="8" t="s">
        <v>99</v>
      </c>
      <c r="C18" s="16" t="n">
        <f aca="false">-Inputs!$C$24</f>
        <v>-40</v>
      </c>
      <c r="D18" s="10"/>
    </row>
    <row r="19" customFormat="false" ht="15" hidden="false" customHeight="false" outlineLevel="0" collapsed="false">
      <c r="B19" s="17" t="s">
        <v>100</v>
      </c>
      <c r="C19" s="18" t="n">
        <f aca="false">SUM(C17:C18)</f>
        <v>560</v>
      </c>
      <c r="D19" s="10"/>
    </row>
    <row r="21" customFormat="false" ht="15" hidden="false" customHeight="false" outlineLevel="0" collapsed="false">
      <c r="B21" s="7" t="s">
        <v>101</v>
      </c>
      <c r="C21" s="7" t="s">
        <v>24</v>
      </c>
      <c r="D21" s="7" t="s">
        <v>25</v>
      </c>
    </row>
    <row r="22" customFormat="false" ht="15" hidden="false" customHeight="false" outlineLevel="0" collapsed="false">
      <c r="B22" s="8" t="s">
        <v>102</v>
      </c>
      <c r="C22" s="19" t="n">
        <f aca="false">IFERROR(C7/Inputs!$C$11,0)</f>
        <v>0.245</v>
      </c>
      <c r="D22" s="10" t="s">
        <v>103</v>
      </c>
    </row>
    <row r="23" customFormat="false" ht="15" hidden="false" customHeight="false" outlineLevel="0" collapsed="false">
      <c r="B23" s="8" t="s">
        <v>104</v>
      </c>
      <c r="C23" s="20" t="n">
        <f aca="false">IFERROR(IF(C13&lt;=0,"never",Inputs!$C$41/C13),0)</f>
        <v>425</v>
      </c>
      <c r="D23" s="10" t="s">
        <v>105</v>
      </c>
    </row>
    <row r="24" customFormat="false" ht="15" hidden="false" customHeight="false" outlineLevel="0" collapsed="false">
      <c r="B24" s="8" t="s">
        <v>106</v>
      </c>
      <c r="C24" s="21" t="n">
        <f aca="false">IFERROR(C13/Inputs!$C$45,0)</f>
        <v>16.6666666666667</v>
      </c>
      <c r="D24" s="1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26" min="3" style="0" width="12"/>
  </cols>
  <sheetData>
    <row r="2" customFormat="false" ht="17.35" hidden="false" customHeight="false" outlineLevel="0" collapsed="false">
      <c r="B2" s="5" t="s">
        <v>108</v>
      </c>
    </row>
    <row r="3" customFormat="false" ht="15" hidden="false" customHeight="false" outlineLevel="0" collapsed="false">
      <c r="B3" s="6" t="s">
        <v>109</v>
      </c>
    </row>
    <row r="5" customFormat="false" ht="15" hidden="false" customHeight="false" outlineLevel="0" collapsed="false">
      <c r="B5" s="7" t="s">
        <v>110</v>
      </c>
      <c r="C5" s="22" t="s">
        <v>111</v>
      </c>
      <c r="D5" s="22" t="s">
        <v>112</v>
      </c>
      <c r="E5" s="22" t="s">
        <v>113</v>
      </c>
      <c r="F5" s="22" t="s">
        <v>114</v>
      </c>
      <c r="G5" s="22" t="s">
        <v>115</v>
      </c>
      <c r="H5" s="22" t="s">
        <v>116</v>
      </c>
      <c r="I5" s="22" t="s">
        <v>117</v>
      </c>
      <c r="J5" s="22" t="s">
        <v>118</v>
      </c>
      <c r="K5" s="22" t="s">
        <v>119</v>
      </c>
      <c r="L5" s="22" t="s">
        <v>120</v>
      </c>
      <c r="M5" s="22" t="s">
        <v>121</v>
      </c>
      <c r="N5" s="22" t="s">
        <v>122</v>
      </c>
      <c r="O5" s="22" t="s">
        <v>123</v>
      </c>
      <c r="P5" s="22" t="s">
        <v>124</v>
      </c>
      <c r="Q5" s="22" t="s">
        <v>125</v>
      </c>
      <c r="R5" s="22" t="s">
        <v>126</v>
      </c>
      <c r="S5" s="22" t="s">
        <v>127</v>
      </c>
      <c r="T5" s="22" t="s">
        <v>128</v>
      </c>
      <c r="U5" s="22" t="s">
        <v>129</v>
      </c>
      <c r="V5" s="22" t="s">
        <v>130</v>
      </c>
      <c r="W5" s="22" t="s">
        <v>131</v>
      </c>
      <c r="X5" s="22" t="s">
        <v>132</v>
      </c>
      <c r="Y5" s="22" t="s">
        <v>133</v>
      </c>
      <c r="Z5" s="22" t="s">
        <v>134</v>
      </c>
    </row>
    <row r="6" customFormat="false" ht="15" hidden="false" customHeight="false" outlineLevel="0" collapsed="false">
      <c r="B6" s="8" t="s">
        <v>135</v>
      </c>
      <c r="C6" s="20" t="n">
        <f aca="false">MAX(0,1-Inputs!$C$27+1)</f>
        <v>0</v>
      </c>
      <c r="D6" s="20" t="n">
        <f aca="false">MAX(0,2-Inputs!$C$27+1)</f>
        <v>0</v>
      </c>
      <c r="E6" s="20" t="n">
        <f aca="false">MAX(0,3-Inputs!$C$27+1)</f>
        <v>0</v>
      </c>
      <c r="F6" s="20" t="n">
        <f aca="false">MAX(0,4-Inputs!$C$27+1)</f>
        <v>0</v>
      </c>
      <c r="G6" s="20" t="n">
        <f aca="false">MAX(0,5-Inputs!$C$27+1)</f>
        <v>0</v>
      </c>
      <c r="H6" s="20" t="n">
        <f aca="false">MAX(0,6-Inputs!$C$27+1)</f>
        <v>0</v>
      </c>
      <c r="I6" s="20" t="n">
        <f aca="false">MAX(0,7-Inputs!$C$27+1)</f>
        <v>1</v>
      </c>
      <c r="J6" s="20" t="n">
        <f aca="false">MAX(0,8-Inputs!$C$27+1)</f>
        <v>2</v>
      </c>
      <c r="K6" s="20" t="n">
        <f aca="false">MAX(0,9-Inputs!$C$27+1)</f>
        <v>3</v>
      </c>
      <c r="L6" s="20" t="n">
        <f aca="false">MAX(0,10-Inputs!$C$27+1)</f>
        <v>4</v>
      </c>
      <c r="M6" s="20" t="n">
        <f aca="false">MAX(0,11-Inputs!$C$27+1)</f>
        <v>5</v>
      </c>
      <c r="N6" s="20" t="n">
        <f aca="false">MAX(0,12-Inputs!$C$27+1)</f>
        <v>6</v>
      </c>
      <c r="O6" s="20" t="n">
        <f aca="false">MAX(0,13-Inputs!$C$27+1)</f>
        <v>7</v>
      </c>
      <c r="P6" s="20" t="n">
        <f aca="false">MAX(0,14-Inputs!$C$27+1)</f>
        <v>8</v>
      </c>
      <c r="Q6" s="20" t="n">
        <f aca="false">MAX(0,15-Inputs!$C$27+1)</f>
        <v>9</v>
      </c>
      <c r="R6" s="20" t="n">
        <f aca="false">MAX(0,16-Inputs!$C$27+1)</f>
        <v>10</v>
      </c>
      <c r="S6" s="20" t="n">
        <f aca="false">MAX(0,17-Inputs!$C$27+1)</f>
        <v>11</v>
      </c>
      <c r="T6" s="20" t="n">
        <f aca="false">MAX(0,18-Inputs!$C$27+1)</f>
        <v>12</v>
      </c>
      <c r="U6" s="20" t="n">
        <f aca="false">MAX(0,19-Inputs!$C$27+1)</f>
        <v>13</v>
      </c>
      <c r="V6" s="20" t="n">
        <f aca="false">MAX(0,20-Inputs!$C$27+1)</f>
        <v>14</v>
      </c>
      <c r="W6" s="20" t="n">
        <f aca="false">MAX(0,21-Inputs!$C$27+1)</f>
        <v>15</v>
      </c>
      <c r="X6" s="20" t="n">
        <f aca="false">MAX(0,22-Inputs!$C$27+1)</f>
        <v>16</v>
      </c>
      <c r="Y6" s="20" t="n">
        <f aca="false">MAX(0,23-Inputs!$C$27+1)</f>
        <v>17</v>
      </c>
      <c r="Z6" s="20" t="n">
        <f aca="false">MAX(0,24-Inputs!$C$27+1)</f>
        <v>18</v>
      </c>
    </row>
    <row r="7" customFormat="false" ht="15" hidden="false" customHeight="false" outlineLevel="0" collapsed="false">
      <c r="B7" s="8" t="s">
        <v>136</v>
      </c>
      <c r="C7" s="20" t="n">
        <f aca="false">IF(C$6=0,0,Inputs!$C$28*(1+Inputs!$C$29)^(C$6-1)*Inputs!$C$30)</f>
        <v>0</v>
      </c>
      <c r="D7" s="20" t="n">
        <f aca="false">IF(D$6=0,0,Inputs!$C$28*(1+Inputs!$C$29)^(D$6-1)*Inputs!$C$30)</f>
        <v>0</v>
      </c>
      <c r="E7" s="20" t="n">
        <f aca="false">IF(E$6=0,0,Inputs!$C$28*(1+Inputs!$C$29)^(E$6-1)*Inputs!$C$30)</f>
        <v>0</v>
      </c>
      <c r="F7" s="20" t="n">
        <f aca="false">IF(F$6=0,0,Inputs!$C$28*(1+Inputs!$C$29)^(F$6-1)*Inputs!$C$30)</f>
        <v>0</v>
      </c>
      <c r="G7" s="20" t="n">
        <f aca="false">IF(G$6=0,0,Inputs!$C$28*(1+Inputs!$C$29)^(G$6-1)*Inputs!$C$30)</f>
        <v>0</v>
      </c>
      <c r="H7" s="20" t="n">
        <f aca="false">IF(H$6=0,0,Inputs!$C$28*(1+Inputs!$C$29)^(H$6-1)*Inputs!$C$30)</f>
        <v>0</v>
      </c>
      <c r="I7" s="20" t="n">
        <f aca="false">IF(I$6=0,0,Inputs!$C$28*(1+Inputs!$C$29)^(I$6-1)*Inputs!$C$30)</f>
        <v>9</v>
      </c>
      <c r="J7" s="20" t="n">
        <f aca="false">IF(J$6=0,0,Inputs!$C$28*(1+Inputs!$C$29)^(J$6-1)*Inputs!$C$30)</f>
        <v>10.8</v>
      </c>
      <c r="K7" s="20" t="n">
        <f aca="false">IF(K$6=0,0,Inputs!$C$28*(1+Inputs!$C$29)^(K$6-1)*Inputs!$C$30)</f>
        <v>12.96</v>
      </c>
      <c r="L7" s="20" t="n">
        <f aca="false">IF(L$6=0,0,Inputs!$C$28*(1+Inputs!$C$29)^(L$6-1)*Inputs!$C$30)</f>
        <v>15.552</v>
      </c>
      <c r="M7" s="20" t="n">
        <f aca="false">IF(M$6=0,0,Inputs!$C$28*(1+Inputs!$C$29)^(M$6-1)*Inputs!$C$30)</f>
        <v>18.6624</v>
      </c>
      <c r="N7" s="20" t="n">
        <f aca="false">IF(N$6=0,0,Inputs!$C$28*(1+Inputs!$C$29)^(N$6-1)*Inputs!$C$30)</f>
        <v>22.39488</v>
      </c>
      <c r="O7" s="20" t="n">
        <f aca="false">IF(O$6=0,0,Inputs!$C$28*(1+Inputs!$C$29)^(O$6-1)*Inputs!$C$30)</f>
        <v>26.873856</v>
      </c>
      <c r="P7" s="20" t="n">
        <f aca="false">IF(P$6=0,0,Inputs!$C$28*(1+Inputs!$C$29)^(P$6-1)*Inputs!$C$30)</f>
        <v>32.2486272</v>
      </c>
      <c r="Q7" s="20" t="n">
        <f aca="false">IF(Q$6=0,0,Inputs!$C$28*(1+Inputs!$C$29)^(Q$6-1)*Inputs!$C$30)</f>
        <v>38.69835264</v>
      </c>
      <c r="R7" s="20" t="n">
        <f aca="false">IF(R$6=0,0,Inputs!$C$28*(1+Inputs!$C$29)^(R$6-1)*Inputs!$C$30)</f>
        <v>46.438023168</v>
      </c>
      <c r="S7" s="20" t="n">
        <f aca="false">IF(S$6=0,0,Inputs!$C$28*(1+Inputs!$C$29)^(S$6-1)*Inputs!$C$30)</f>
        <v>55.7256278016</v>
      </c>
      <c r="T7" s="20" t="n">
        <f aca="false">IF(T$6=0,0,Inputs!$C$28*(1+Inputs!$C$29)^(T$6-1)*Inputs!$C$30)</f>
        <v>66.87075336192</v>
      </c>
      <c r="U7" s="20" t="n">
        <f aca="false">IF(U$6=0,0,Inputs!$C$28*(1+Inputs!$C$29)^(U$6-1)*Inputs!$C$30)</f>
        <v>80.244904034304</v>
      </c>
      <c r="V7" s="20" t="n">
        <f aca="false">IF(V$6=0,0,Inputs!$C$28*(1+Inputs!$C$29)^(V$6-1)*Inputs!$C$30)</f>
        <v>96.2938848411647</v>
      </c>
      <c r="W7" s="20" t="n">
        <f aca="false">IF(W$6=0,0,Inputs!$C$28*(1+Inputs!$C$29)^(W$6-1)*Inputs!$C$30)</f>
        <v>115.552661809398</v>
      </c>
      <c r="X7" s="20" t="n">
        <f aca="false">IF(X$6=0,0,Inputs!$C$28*(1+Inputs!$C$29)^(X$6-1)*Inputs!$C$30)</f>
        <v>138.663194171277</v>
      </c>
      <c r="Y7" s="20" t="n">
        <f aca="false">IF(Y$6=0,0,Inputs!$C$28*(1+Inputs!$C$29)^(Y$6-1)*Inputs!$C$30)</f>
        <v>166.395833005533</v>
      </c>
      <c r="Z7" s="20" t="n">
        <f aca="false">IF(Z$6=0,0,Inputs!$C$28*(1+Inputs!$C$29)^(Z$6-1)*Inputs!$C$30)</f>
        <v>199.674999606639</v>
      </c>
    </row>
    <row r="8" customFormat="false" ht="15" hidden="false" customHeight="false" outlineLevel="0" collapsed="false">
      <c r="B8" s="8" t="s">
        <v>137</v>
      </c>
      <c r="C8" s="20" t="n">
        <f aca="false">IF(C$6=0,0,Inputs!$C$31*(1+Inputs!$C$32)^(C$6-1))</f>
        <v>0</v>
      </c>
      <c r="D8" s="20" t="n">
        <f aca="false">IF(D$6=0,0,Inputs!$C$31*(1+Inputs!$C$32)^(D$6-1))</f>
        <v>0</v>
      </c>
      <c r="E8" s="20" t="n">
        <f aca="false">IF(E$6=0,0,Inputs!$C$31*(1+Inputs!$C$32)^(E$6-1))</f>
        <v>0</v>
      </c>
      <c r="F8" s="20" t="n">
        <f aca="false">IF(F$6=0,0,Inputs!$C$31*(1+Inputs!$C$32)^(F$6-1))</f>
        <v>0</v>
      </c>
      <c r="G8" s="20" t="n">
        <f aca="false">IF(G$6=0,0,Inputs!$C$31*(1+Inputs!$C$32)^(G$6-1))</f>
        <v>0</v>
      </c>
      <c r="H8" s="20" t="n">
        <f aca="false">IF(H$6=0,0,Inputs!$C$31*(1+Inputs!$C$32)^(H$6-1))</f>
        <v>0</v>
      </c>
      <c r="I8" s="20" t="n">
        <f aca="false">IF(I$6=0,0,Inputs!$C$31*(1+Inputs!$C$32)^(I$6-1))</f>
        <v>10</v>
      </c>
      <c r="J8" s="20" t="n">
        <f aca="false">IF(J$6=0,0,Inputs!$C$31*(1+Inputs!$C$32)^(J$6-1))</f>
        <v>11.5</v>
      </c>
      <c r="K8" s="20" t="n">
        <f aca="false">IF(K$6=0,0,Inputs!$C$31*(1+Inputs!$C$32)^(K$6-1))</f>
        <v>13.225</v>
      </c>
      <c r="L8" s="20" t="n">
        <f aca="false">IF(L$6=0,0,Inputs!$C$31*(1+Inputs!$C$32)^(L$6-1))</f>
        <v>15.20875</v>
      </c>
      <c r="M8" s="20" t="n">
        <f aca="false">IF(M$6=0,0,Inputs!$C$31*(1+Inputs!$C$32)^(M$6-1))</f>
        <v>17.4900625</v>
      </c>
      <c r="N8" s="20" t="n">
        <f aca="false">IF(N$6=0,0,Inputs!$C$31*(1+Inputs!$C$32)^(N$6-1))</f>
        <v>20.113571875</v>
      </c>
      <c r="O8" s="20" t="n">
        <f aca="false">IF(O$6=0,0,Inputs!$C$31*(1+Inputs!$C$32)^(O$6-1))</f>
        <v>23.13060765625</v>
      </c>
      <c r="P8" s="20" t="n">
        <f aca="false">IF(P$6=0,0,Inputs!$C$31*(1+Inputs!$C$32)^(P$6-1))</f>
        <v>26.6001988046875</v>
      </c>
      <c r="Q8" s="20" t="n">
        <f aca="false">IF(Q$6=0,0,Inputs!$C$31*(1+Inputs!$C$32)^(Q$6-1))</f>
        <v>30.5902286253906</v>
      </c>
      <c r="R8" s="20" t="n">
        <f aca="false">IF(R$6=0,0,Inputs!$C$31*(1+Inputs!$C$32)^(R$6-1))</f>
        <v>35.1787629191992</v>
      </c>
      <c r="S8" s="20" t="n">
        <f aca="false">IF(S$6=0,0,Inputs!$C$31*(1+Inputs!$C$32)^(S$6-1))</f>
        <v>40.4555773570791</v>
      </c>
      <c r="T8" s="20" t="n">
        <f aca="false">IF(T$6=0,0,Inputs!$C$31*(1+Inputs!$C$32)^(T$6-1))</f>
        <v>46.5239139606409</v>
      </c>
      <c r="U8" s="20" t="n">
        <f aca="false">IF(U$6=0,0,Inputs!$C$31*(1+Inputs!$C$32)^(U$6-1))</f>
        <v>53.5025010547371</v>
      </c>
      <c r="V8" s="20" t="n">
        <f aca="false">IF(V$6=0,0,Inputs!$C$31*(1+Inputs!$C$32)^(V$6-1))</f>
        <v>61.5278762129476</v>
      </c>
      <c r="W8" s="20" t="n">
        <f aca="false">IF(W$6=0,0,Inputs!$C$31*(1+Inputs!$C$32)^(W$6-1))</f>
        <v>70.7570576448898</v>
      </c>
      <c r="X8" s="20" t="n">
        <f aca="false">IF(X$6=0,0,Inputs!$C$31*(1+Inputs!$C$32)^(X$6-1))</f>
        <v>81.3706162916232</v>
      </c>
      <c r="Y8" s="20" t="n">
        <f aca="false">IF(Y$6=0,0,Inputs!$C$31*(1+Inputs!$C$32)^(Y$6-1))</f>
        <v>93.5762087353667</v>
      </c>
      <c r="Z8" s="20" t="n">
        <f aca="false">IF(Z$6=0,0,Inputs!$C$31*(1+Inputs!$C$32)^(Z$6-1))</f>
        <v>107.612640045672</v>
      </c>
    </row>
    <row r="9" customFormat="false" ht="15" hidden="false" customHeight="false" outlineLevel="0" collapsed="false">
      <c r="B9" s="8" t="s">
        <v>138</v>
      </c>
      <c r="C9" s="20" t="n">
        <f aca="false">IF(1&lt;13,0,Inputs!$C$33)</f>
        <v>0</v>
      </c>
      <c r="D9" s="20" t="n">
        <f aca="false">IF(2&lt;13,0,Inputs!$C$33)</f>
        <v>0</v>
      </c>
      <c r="E9" s="20" t="n">
        <f aca="false">IF(3&lt;13,0,Inputs!$C$33)</f>
        <v>0</v>
      </c>
      <c r="F9" s="20" t="n">
        <f aca="false">IF(4&lt;13,0,Inputs!$C$33)</f>
        <v>0</v>
      </c>
      <c r="G9" s="20" t="n">
        <f aca="false">IF(5&lt;13,0,Inputs!$C$33)</f>
        <v>0</v>
      </c>
      <c r="H9" s="20" t="n">
        <f aca="false">IF(6&lt;13,0,Inputs!$C$33)</f>
        <v>0</v>
      </c>
      <c r="I9" s="20" t="n">
        <f aca="false">IF(7&lt;13,0,Inputs!$C$33)</f>
        <v>0</v>
      </c>
      <c r="J9" s="20" t="n">
        <f aca="false">IF(8&lt;13,0,Inputs!$C$33)</f>
        <v>0</v>
      </c>
      <c r="K9" s="20" t="n">
        <f aca="false">IF(9&lt;13,0,Inputs!$C$33)</f>
        <v>0</v>
      </c>
      <c r="L9" s="20" t="n">
        <f aca="false">IF(10&lt;13,0,Inputs!$C$33)</f>
        <v>0</v>
      </c>
      <c r="M9" s="20" t="n">
        <f aca="false">IF(11&lt;13,0,Inputs!$C$33)</f>
        <v>0</v>
      </c>
      <c r="N9" s="20" t="n">
        <f aca="false">IF(12&lt;13,0,Inputs!$C$33)</f>
        <v>0</v>
      </c>
      <c r="O9" s="20" t="n">
        <f aca="false">IF(13&lt;13,0,Inputs!$C$33)</f>
        <v>0</v>
      </c>
      <c r="P9" s="20" t="n">
        <f aca="false">IF(14&lt;13,0,Inputs!$C$33)</f>
        <v>0</v>
      </c>
      <c r="Q9" s="20" t="n">
        <f aca="false">IF(15&lt;13,0,Inputs!$C$33)</f>
        <v>0</v>
      </c>
      <c r="R9" s="20" t="n">
        <f aca="false">IF(16&lt;13,0,Inputs!$C$33)</f>
        <v>0</v>
      </c>
      <c r="S9" s="20" t="n">
        <f aca="false">IF(17&lt;13,0,Inputs!$C$33)</f>
        <v>0</v>
      </c>
      <c r="T9" s="20" t="n">
        <f aca="false">IF(18&lt;13,0,Inputs!$C$33)</f>
        <v>0</v>
      </c>
      <c r="U9" s="20" t="n">
        <f aca="false">IF(19&lt;13,0,Inputs!$C$33)</f>
        <v>0</v>
      </c>
      <c r="V9" s="20" t="n">
        <f aca="false">IF(20&lt;13,0,Inputs!$C$33)</f>
        <v>0</v>
      </c>
      <c r="W9" s="20" t="n">
        <f aca="false">IF(21&lt;13,0,Inputs!$C$33)</f>
        <v>0</v>
      </c>
      <c r="X9" s="20" t="n">
        <f aca="false">IF(22&lt;13,0,Inputs!$C$33)</f>
        <v>0</v>
      </c>
      <c r="Y9" s="20" t="n">
        <f aca="false">IF(23&lt;13,0,Inputs!$C$33)</f>
        <v>0</v>
      </c>
      <c r="Z9" s="20" t="n">
        <f aca="false">IF(24&lt;13,0,Inputs!$C$33)</f>
        <v>0</v>
      </c>
    </row>
    <row r="11" customFormat="false" ht="15" hidden="false" customHeight="false" outlineLevel="0" collapsed="false">
      <c r="B11" s="7" t="s">
        <v>139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customFormat="false" ht="15" hidden="false" customHeight="false" outlineLevel="0" collapsed="false">
      <c r="B12" s="8" t="s">
        <v>140</v>
      </c>
      <c r="C12" s="14" t="n">
        <f aca="false">C7*'Unit economics'!$C$7</f>
        <v>0</v>
      </c>
      <c r="D12" s="14" t="n">
        <f aca="false">D7*'Unit economics'!$C$7</f>
        <v>0</v>
      </c>
      <c r="E12" s="14" t="n">
        <f aca="false">E7*'Unit economics'!$C$7</f>
        <v>0</v>
      </c>
      <c r="F12" s="14" t="n">
        <f aca="false">F7*'Unit economics'!$C$7</f>
        <v>0</v>
      </c>
      <c r="G12" s="14" t="n">
        <f aca="false">G7*'Unit economics'!$C$7</f>
        <v>0</v>
      </c>
      <c r="H12" s="14" t="n">
        <f aca="false">H7*'Unit economics'!$C$7</f>
        <v>0</v>
      </c>
      <c r="I12" s="14" t="n">
        <f aca="false">I7*'Unit economics'!$C$7</f>
        <v>4410</v>
      </c>
      <c r="J12" s="14" t="n">
        <f aca="false">J7*'Unit economics'!$C$7</f>
        <v>5292</v>
      </c>
      <c r="K12" s="14" t="n">
        <f aca="false">K7*'Unit economics'!$C$7</f>
        <v>6350.4</v>
      </c>
      <c r="L12" s="14" t="n">
        <f aca="false">L7*'Unit economics'!$C$7</f>
        <v>7620.48</v>
      </c>
      <c r="M12" s="14" t="n">
        <f aca="false">M7*'Unit economics'!$C$7</f>
        <v>9144.576</v>
      </c>
      <c r="N12" s="14" t="n">
        <f aca="false">N7*'Unit economics'!$C$7</f>
        <v>10973.4912</v>
      </c>
      <c r="O12" s="14" t="n">
        <f aca="false">O7*'Unit economics'!$C$7</f>
        <v>13168.18944</v>
      </c>
      <c r="P12" s="14" t="n">
        <f aca="false">P7*'Unit economics'!$C$7</f>
        <v>15801.827328</v>
      </c>
      <c r="Q12" s="14" t="n">
        <f aca="false">Q7*'Unit economics'!$C$7</f>
        <v>18962.1927936</v>
      </c>
      <c r="R12" s="14" t="n">
        <f aca="false">R7*'Unit economics'!$C$7</f>
        <v>22754.63135232</v>
      </c>
      <c r="S12" s="14" t="n">
        <f aca="false">S7*'Unit economics'!$C$7</f>
        <v>27305.557622784</v>
      </c>
      <c r="T12" s="14" t="n">
        <f aca="false">T7*'Unit economics'!$C$7</f>
        <v>32766.6691473408</v>
      </c>
      <c r="U12" s="14" t="n">
        <f aca="false">U7*'Unit economics'!$C$7</f>
        <v>39320.0029768089</v>
      </c>
      <c r="V12" s="14" t="n">
        <f aca="false">V7*'Unit economics'!$C$7</f>
        <v>47184.0035721707</v>
      </c>
      <c r="W12" s="14" t="n">
        <f aca="false">W7*'Unit economics'!$C$7</f>
        <v>56620.8042866049</v>
      </c>
      <c r="X12" s="14" t="n">
        <f aca="false">X7*'Unit economics'!$C$7</f>
        <v>67944.9651439259</v>
      </c>
      <c r="Y12" s="14" t="n">
        <f aca="false">Y7*'Unit economics'!$C$7</f>
        <v>81533.958172711</v>
      </c>
      <c r="Z12" s="14" t="n">
        <f aca="false">Z7*'Unit economics'!$C$7</f>
        <v>97840.7498072532</v>
      </c>
    </row>
    <row r="13" customFormat="false" ht="15" hidden="false" customHeight="false" outlineLevel="0" collapsed="false">
      <c r="B13" s="8" t="s">
        <v>141</v>
      </c>
      <c r="C13" s="14" t="n">
        <f aca="false">C8*Inputs!$C$7</f>
        <v>0</v>
      </c>
      <c r="D13" s="14" t="n">
        <f aca="false">D8*Inputs!$C$7</f>
        <v>0</v>
      </c>
      <c r="E13" s="14" t="n">
        <f aca="false">E8*Inputs!$C$7</f>
        <v>0</v>
      </c>
      <c r="F13" s="14" t="n">
        <f aca="false">F8*Inputs!$C$7</f>
        <v>0</v>
      </c>
      <c r="G13" s="14" t="n">
        <f aca="false">G8*Inputs!$C$7</f>
        <v>0</v>
      </c>
      <c r="H13" s="14" t="n">
        <f aca="false">H8*Inputs!$C$7</f>
        <v>0</v>
      </c>
      <c r="I13" s="14" t="n">
        <f aca="false">I8*Inputs!$C$7</f>
        <v>6000</v>
      </c>
      <c r="J13" s="14" t="n">
        <f aca="false">J8*Inputs!$C$7</f>
        <v>6900</v>
      </c>
      <c r="K13" s="14" t="n">
        <f aca="false">K8*Inputs!$C$7</f>
        <v>7935</v>
      </c>
      <c r="L13" s="14" t="n">
        <f aca="false">L8*Inputs!$C$7</f>
        <v>9125.25</v>
      </c>
      <c r="M13" s="14" t="n">
        <f aca="false">M8*Inputs!$C$7</f>
        <v>10494.0375</v>
      </c>
      <c r="N13" s="14" t="n">
        <f aca="false">N8*Inputs!$C$7</f>
        <v>12068.143125</v>
      </c>
      <c r="O13" s="14" t="n">
        <f aca="false">O8*Inputs!$C$7</f>
        <v>13878.36459375</v>
      </c>
      <c r="P13" s="14" t="n">
        <f aca="false">P8*Inputs!$C$7</f>
        <v>15960.1192828125</v>
      </c>
      <c r="Q13" s="14" t="n">
        <f aca="false">Q8*Inputs!$C$7</f>
        <v>18354.1371752344</v>
      </c>
      <c r="R13" s="14" t="n">
        <f aca="false">R8*Inputs!$C$7</f>
        <v>21107.2577515195</v>
      </c>
      <c r="S13" s="14" t="n">
        <f aca="false">S8*Inputs!$C$7</f>
        <v>24273.3464142474</v>
      </c>
      <c r="T13" s="14" t="n">
        <f aca="false">T8*Inputs!$C$7</f>
        <v>27914.3483763846</v>
      </c>
      <c r="U13" s="14" t="n">
        <f aca="false">U8*Inputs!$C$7</f>
        <v>32101.5006328422</v>
      </c>
      <c r="V13" s="14" t="n">
        <f aca="false">V8*Inputs!$C$7</f>
        <v>36916.7257277686</v>
      </c>
      <c r="W13" s="14" t="n">
        <f aca="false">W8*Inputs!$C$7</f>
        <v>42454.2345869339</v>
      </c>
      <c r="X13" s="14" t="n">
        <f aca="false">X8*Inputs!$C$7</f>
        <v>48822.3697749739</v>
      </c>
      <c r="Y13" s="14" t="n">
        <f aca="false">Y8*Inputs!$C$7</f>
        <v>56145.72524122</v>
      </c>
      <c r="Z13" s="14" t="n">
        <f aca="false">Z8*Inputs!$C$7</f>
        <v>64567.584027403</v>
      </c>
    </row>
    <row r="14" customFormat="false" ht="15" hidden="false" customHeight="false" outlineLevel="0" collapsed="false">
      <c r="B14" s="8" t="s">
        <v>142</v>
      </c>
      <c r="C14" s="14" t="n">
        <f aca="false">C9*Inputs!$C$8</f>
        <v>0</v>
      </c>
      <c r="D14" s="14" t="n">
        <f aca="false">D9*Inputs!$C$8</f>
        <v>0</v>
      </c>
      <c r="E14" s="14" t="n">
        <f aca="false">E9*Inputs!$C$8</f>
        <v>0</v>
      </c>
      <c r="F14" s="14" t="n">
        <f aca="false">F9*Inputs!$C$8</f>
        <v>0</v>
      </c>
      <c r="G14" s="14" t="n">
        <f aca="false">G9*Inputs!$C$8</f>
        <v>0</v>
      </c>
      <c r="H14" s="14" t="n">
        <f aca="false">H9*Inputs!$C$8</f>
        <v>0</v>
      </c>
      <c r="I14" s="14" t="n">
        <f aca="false">I9*Inputs!$C$8</f>
        <v>0</v>
      </c>
      <c r="J14" s="14" t="n">
        <f aca="false">J9*Inputs!$C$8</f>
        <v>0</v>
      </c>
      <c r="K14" s="14" t="n">
        <f aca="false">K9*Inputs!$C$8</f>
        <v>0</v>
      </c>
      <c r="L14" s="14" t="n">
        <f aca="false">L9*Inputs!$C$8</f>
        <v>0</v>
      </c>
      <c r="M14" s="14" t="n">
        <f aca="false">M9*Inputs!$C$8</f>
        <v>0</v>
      </c>
      <c r="N14" s="14" t="n">
        <f aca="false">N9*Inputs!$C$8</f>
        <v>0</v>
      </c>
      <c r="O14" s="14" t="n">
        <f aca="false">O9*Inputs!$C$8</f>
        <v>0</v>
      </c>
      <c r="P14" s="14" t="n">
        <f aca="false">P9*Inputs!$C$8</f>
        <v>0</v>
      </c>
      <c r="Q14" s="14" t="n">
        <f aca="false">Q9*Inputs!$C$8</f>
        <v>0</v>
      </c>
      <c r="R14" s="14" t="n">
        <f aca="false">R9*Inputs!$C$8</f>
        <v>0</v>
      </c>
      <c r="S14" s="14" t="n">
        <f aca="false">S9*Inputs!$C$8</f>
        <v>0</v>
      </c>
      <c r="T14" s="14" t="n">
        <f aca="false">T9*Inputs!$C$8</f>
        <v>0</v>
      </c>
      <c r="U14" s="14" t="n">
        <f aca="false">U9*Inputs!$C$8</f>
        <v>0</v>
      </c>
      <c r="V14" s="14" t="n">
        <f aca="false">V9*Inputs!$C$8</f>
        <v>0</v>
      </c>
      <c r="W14" s="14" t="n">
        <f aca="false">W9*Inputs!$C$8</f>
        <v>0</v>
      </c>
      <c r="X14" s="14" t="n">
        <f aca="false">X9*Inputs!$C$8</f>
        <v>0</v>
      </c>
      <c r="Y14" s="14" t="n">
        <f aca="false">Y9*Inputs!$C$8</f>
        <v>0</v>
      </c>
      <c r="Z14" s="14" t="n">
        <f aca="false">Z9*Inputs!$C$8</f>
        <v>0</v>
      </c>
    </row>
    <row r="15" customFormat="false" ht="15" hidden="false" customHeight="false" outlineLevel="0" collapsed="false">
      <c r="B15" s="17" t="s">
        <v>143</v>
      </c>
      <c r="C15" s="18" t="n">
        <f aca="false">SUM(C12:C14)</f>
        <v>0</v>
      </c>
      <c r="D15" s="18" t="n">
        <f aca="false">SUM(D12:D14)</f>
        <v>0</v>
      </c>
      <c r="E15" s="18" t="n">
        <f aca="false">SUM(E12:E14)</f>
        <v>0</v>
      </c>
      <c r="F15" s="18" t="n">
        <f aca="false">SUM(F12:F14)</f>
        <v>0</v>
      </c>
      <c r="G15" s="18" t="n">
        <f aca="false">SUM(G12:G14)</f>
        <v>0</v>
      </c>
      <c r="H15" s="18" t="n">
        <f aca="false">SUM(H12:H14)</f>
        <v>0</v>
      </c>
      <c r="I15" s="18" t="n">
        <f aca="false">SUM(I12:I14)</f>
        <v>10410</v>
      </c>
      <c r="J15" s="18" t="n">
        <f aca="false">SUM(J12:J14)</f>
        <v>12192</v>
      </c>
      <c r="K15" s="18" t="n">
        <f aca="false">SUM(K12:K14)</f>
        <v>14285.4</v>
      </c>
      <c r="L15" s="18" t="n">
        <f aca="false">SUM(L12:L14)</f>
        <v>16745.73</v>
      </c>
      <c r="M15" s="18" t="n">
        <f aca="false">SUM(M12:M14)</f>
        <v>19638.6135</v>
      </c>
      <c r="N15" s="18" t="n">
        <f aca="false">SUM(N12:N14)</f>
        <v>23041.634325</v>
      </c>
      <c r="O15" s="18" t="n">
        <f aca="false">SUM(O12:O14)</f>
        <v>27046.55403375</v>
      </c>
      <c r="P15" s="18" t="n">
        <f aca="false">SUM(P12:P14)</f>
        <v>31761.9466108125</v>
      </c>
      <c r="Q15" s="18" t="n">
        <f aca="false">SUM(Q12:Q14)</f>
        <v>37316.3299688344</v>
      </c>
      <c r="R15" s="18" t="n">
        <f aca="false">SUM(R12:R14)</f>
        <v>43861.8891038395</v>
      </c>
      <c r="S15" s="18" t="n">
        <f aca="false">SUM(S12:S14)</f>
        <v>51578.9040370314</v>
      </c>
      <c r="T15" s="18" t="n">
        <f aca="false">SUM(T12:T14)</f>
        <v>60681.0175237253</v>
      </c>
      <c r="U15" s="18" t="n">
        <f aca="false">SUM(U12:U14)</f>
        <v>71421.5036096512</v>
      </c>
      <c r="V15" s="18" t="n">
        <f aca="false">SUM(V12:V14)</f>
        <v>84100.7292999393</v>
      </c>
      <c r="W15" s="18" t="n">
        <f aca="false">SUM(W12:W14)</f>
        <v>99075.0388735387</v>
      </c>
      <c r="X15" s="18" t="n">
        <f aca="false">SUM(X12:X14)</f>
        <v>116767.3349189</v>
      </c>
      <c r="Y15" s="18" t="n">
        <f aca="false">SUM(Y12:Y14)</f>
        <v>137679.683413931</v>
      </c>
      <c r="Z15" s="18" t="n">
        <f aca="false">SUM(Z12:Z14)</f>
        <v>162408.333834656</v>
      </c>
    </row>
    <row r="17" customFormat="false" ht="15" hidden="false" customHeight="false" outlineLevel="0" collapsed="false">
      <c r="B17" s="7" t="s">
        <v>144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customFormat="false" ht="15" hidden="false" customHeight="false" outlineLevel="0" collapsed="false">
      <c r="B18" s="8" t="s">
        <v>145</v>
      </c>
      <c r="C18" s="14" t="n">
        <f aca="false">C7*('Unit economics'!$C$13-'Unit economics'!$C$7)</f>
        <v>-0</v>
      </c>
      <c r="D18" s="14" t="n">
        <f aca="false">D7*('Unit economics'!$C$13-'Unit economics'!$C$7)</f>
        <v>-0</v>
      </c>
      <c r="E18" s="14" t="n">
        <f aca="false">E7*('Unit economics'!$C$13-'Unit economics'!$C$7)</f>
        <v>-0</v>
      </c>
      <c r="F18" s="14" t="n">
        <f aca="false">F7*('Unit economics'!$C$13-'Unit economics'!$C$7)</f>
        <v>-0</v>
      </c>
      <c r="G18" s="14" t="n">
        <f aca="false">G7*('Unit economics'!$C$13-'Unit economics'!$C$7)</f>
        <v>-0</v>
      </c>
      <c r="H18" s="14" t="n">
        <f aca="false">H7*('Unit economics'!$C$13-'Unit economics'!$C$7)</f>
        <v>-0</v>
      </c>
      <c r="I18" s="14" t="n">
        <f aca="false">I7*('Unit economics'!$C$13-'Unit economics'!$C$7)</f>
        <v>-2610</v>
      </c>
      <c r="J18" s="14" t="n">
        <f aca="false">J7*('Unit economics'!$C$13-'Unit economics'!$C$7)</f>
        <v>-3132</v>
      </c>
      <c r="K18" s="14" t="n">
        <f aca="false">K7*('Unit economics'!$C$13-'Unit economics'!$C$7)</f>
        <v>-3758.4</v>
      </c>
      <c r="L18" s="14" t="n">
        <f aca="false">L7*('Unit economics'!$C$13-'Unit economics'!$C$7)</f>
        <v>-4510.08</v>
      </c>
      <c r="M18" s="14" t="n">
        <f aca="false">M7*('Unit economics'!$C$13-'Unit economics'!$C$7)</f>
        <v>-5412.096</v>
      </c>
      <c r="N18" s="14" t="n">
        <f aca="false">N7*('Unit economics'!$C$13-'Unit economics'!$C$7)</f>
        <v>-6494.5152</v>
      </c>
      <c r="O18" s="14" t="n">
        <f aca="false">O7*('Unit economics'!$C$13-'Unit economics'!$C$7)</f>
        <v>-7793.41824</v>
      </c>
      <c r="P18" s="14" t="n">
        <f aca="false">P7*('Unit economics'!$C$13-'Unit economics'!$C$7)</f>
        <v>-9352.101888</v>
      </c>
      <c r="Q18" s="14" t="n">
        <f aca="false">Q7*('Unit economics'!$C$13-'Unit economics'!$C$7)</f>
        <v>-11222.5222656</v>
      </c>
      <c r="R18" s="14" t="n">
        <f aca="false">R7*('Unit economics'!$C$13-'Unit economics'!$C$7)</f>
        <v>-13467.02671872</v>
      </c>
      <c r="S18" s="14" t="n">
        <f aca="false">S7*('Unit economics'!$C$13-'Unit economics'!$C$7)</f>
        <v>-16160.432062464</v>
      </c>
      <c r="T18" s="14" t="n">
        <f aca="false">T7*('Unit economics'!$C$13-'Unit economics'!$C$7)</f>
        <v>-19392.5184749568</v>
      </c>
      <c r="U18" s="14" t="n">
        <f aca="false">U7*('Unit economics'!$C$13-'Unit economics'!$C$7)</f>
        <v>-23271.0221699481</v>
      </c>
      <c r="V18" s="14" t="n">
        <f aca="false">V7*('Unit economics'!$C$13-'Unit economics'!$C$7)</f>
        <v>-27925.2266039378</v>
      </c>
      <c r="W18" s="14" t="n">
        <f aca="false">W7*('Unit economics'!$C$13-'Unit economics'!$C$7)</f>
        <v>-33510.2719247253</v>
      </c>
      <c r="X18" s="14" t="n">
        <f aca="false">X7*('Unit economics'!$C$13-'Unit economics'!$C$7)</f>
        <v>-40212.3263096704</v>
      </c>
      <c r="Y18" s="14" t="n">
        <f aca="false">Y7*('Unit economics'!$C$13-'Unit economics'!$C$7)</f>
        <v>-48254.7915716045</v>
      </c>
      <c r="Z18" s="14" t="n">
        <f aca="false">Z7*('Unit economics'!$C$13-'Unit economics'!$C$7)</f>
        <v>-57905.7498859254</v>
      </c>
    </row>
    <row r="19" customFormat="false" ht="15" hidden="false" customHeight="false" outlineLevel="0" collapsed="false">
      <c r="B19" s="8" t="s">
        <v>146</v>
      </c>
      <c r="C19" s="14" t="n">
        <f aca="false">-C8*Inputs!$C$24</f>
        <v>-0</v>
      </c>
      <c r="D19" s="14" t="n">
        <f aca="false">-D8*Inputs!$C$24</f>
        <v>-0</v>
      </c>
      <c r="E19" s="14" t="n">
        <f aca="false">-E8*Inputs!$C$24</f>
        <v>-0</v>
      </c>
      <c r="F19" s="14" t="n">
        <f aca="false">-F8*Inputs!$C$24</f>
        <v>-0</v>
      </c>
      <c r="G19" s="14" t="n">
        <f aca="false">-G8*Inputs!$C$24</f>
        <v>-0</v>
      </c>
      <c r="H19" s="14" t="n">
        <f aca="false">-H8*Inputs!$C$24</f>
        <v>-0</v>
      </c>
      <c r="I19" s="14" t="n">
        <f aca="false">-I8*Inputs!$C$24</f>
        <v>-400</v>
      </c>
      <c r="J19" s="14" t="n">
        <f aca="false">-J8*Inputs!$C$24</f>
        <v>-460</v>
      </c>
      <c r="K19" s="14" t="n">
        <f aca="false">-K8*Inputs!$C$24</f>
        <v>-529</v>
      </c>
      <c r="L19" s="14" t="n">
        <f aca="false">-L8*Inputs!$C$24</f>
        <v>-608.35</v>
      </c>
      <c r="M19" s="14" t="n">
        <f aca="false">-M8*Inputs!$C$24</f>
        <v>-699.6025</v>
      </c>
      <c r="N19" s="14" t="n">
        <f aca="false">-N8*Inputs!$C$24</f>
        <v>-804.542875</v>
      </c>
      <c r="O19" s="14" t="n">
        <f aca="false">-O8*Inputs!$C$24</f>
        <v>-925.22430625</v>
      </c>
      <c r="P19" s="14" t="n">
        <f aca="false">-P8*Inputs!$C$24</f>
        <v>-1064.0079521875</v>
      </c>
      <c r="Q19" s="14" t="n">
        <f aca="false">-Q8*Inputs!$C$24</f>
        <v>-1223.60914501562</v>
      </c>
      <c r="R19" s="14" t="n">
        <f aca="false">-R8*Inputs!$C$24</f>
        <v>-1407.15051676797</v>
      </c>
      <c r="S19" s="14" t="n">
        <f aca="false">-S8*Inputs!$C$24</f>
        <v>-1618.22309428316</v>
      </c>
      <c r="T19" s="14" t="n">
        <f aca="false">-T8*Inputs!$C$24</f>
        <v>-1860.95655842564</v>
      </c>
      <c r="U19" s="14" t="n">
        <f aca="false">-U8*Inputs!$C$24</f>
        <v>-2140.10004218948</v>
      </c>
      <c r="V19" s="14" t="n">
        <f aca="false">-V8*Inputs!$C$24</f>
        <v>-2461.1150485179</v>
      </c>
      <c r="W19" s="14" t="n">
        <f aca="false">-W8*Inputs!$C$24</f>
        <v>-2830.28230579559</v>
      </c>
      <c r="X19" s="14" t="n">
        <f aca="false">-X8*Inputs!$C$24</f>
        <v>-3254.82465166493</v>
      </c>
      <c r="Y19" s="14" t="n">
        <f aca="false">-Y8*Inputs!$C$24</f>
        <v>-3743.04834941467</v>
      </c>
      <c r="Z19" s="14" t="n">
        <f aca="false">-Z8*Inputs!$C$24</f>
        <v>-4304.50560182687</v>
      </c>
    </row>
    <row r="20" customFormat="false" ht="15" hidden="false" customHeight="false" outlineLevel="0" collapsed="false">
      <c r="B20" s="8" t="s">
        <v>147</v>
      </c>
      <c r="C20" s="14" t="n">
        <f aca="false">-Inputs!$C$41</f>
        <v>-85000</v>
      </c>
      <c r="D20" s="14" t="n">
        <f aca="false">-Inputs!$C$41</f>
        <v>-85000</v>
      </c>
      <c r="E20" s="14" t="n">
        <f aca="false">-Inputs!$C$41</f>
        <v>-85000</v>
      </c>
      <c r="F20" s="14" t="n">
        <f aca="false">-Inputs!$C$41</f>
        <v>-85000</v>
      </c>
      <c r="G20" s="14" t="n">
        <f aca="false">-Inputs!$C$41</f>
        <v>-85000</v>
      </c>
      <c r="H20" s="14" t="n">
        <f aca="false">-Inputs!$C$41</f>
        <v>-85000</v>
      </c>
      <c r="I20" s="14" t="n">
        <f aca="false">-Inputs!$C$41</f>
        <v>-85000</v>
      </c>
      <c r="J20" s="14" t="n">
        <f aca="false">-Inputs!$C$41</f>
        <v>-85000</v>
      </c>
      <c r="K20" s="14" t="n">
        <f aca="false">-Inputs!$C$41</f>
        <v>-85000</v>
      </c>
      <c r="L20" s="14" t="n">
        <f aca="false">-Inputs!$C$41</f>
        <v>-85000</v>
      </c>
      <c r="M20" s="14" t="n">
        <f aca="false">-Inputs!$C$41</f>
        <v>-85000</v>
      </c>
      <c r="N20" s="14" t="n">
        <f aca="false">-Inputs!$C$41</f>
        <v>-85000</v>
      </c>
      <c r="O20" s="14" t="n">
        <f aca="false">-Inputs!$C$41</f>
        <v>-85000</v>
      </c>
      <c r="P20" s="14" t="n">
        <f aca="false">-Inputs!$C$41</f>
        <v>-85000</v>
      </c>
      <c r="Q20" s="14" t="n">
        <f aca="false">-Inputs!$C$41</f>
        <v>-85000</v>
      </c>
      <c r="R20" s="14" t="n">
        <f aca="false">-Inputs!$C$41</f>
        <v>-85000</v>
      </c>
      <c r="S20" s="14" t="n">
        <f aca="false">-Inputs!$C$41</f>
        <v>-85000</v>
      </c>
      <c r="T20" s="14" t="n">
        <f aca="false">-Inputs!$C$41</f>
        <v>-85000</v>
      </c>
      <c r="U20" s="14" t="n">
        <f aca="false">-Inputs!$C$41</f>
        <v>-85000</v>
      </c>
      <c r="V20" s="14" t="n">
        <f aca="false">-Inputs!$C$41</f>
        <v>-85000</v>
      </c>
      <c r="W20" s="14" t="n">
        <f aca="false">-Inputs!$C$41</f>
        <v>-85000</v>
      </c>
      <c r="X20" s="14" t="n">
        <f aca="false">-Inputs!$C$41</f>
        <v>-85000</v>
      </c>
      <c r="Y20" s="14" t="n">
        <f aca="false">-Inputs!$C$41</f>
        <v>-85000</v>
      </c>
      <c r="Z20" s="14" t="n">
        <f aca="false">-Inputs!$C$41</f>
        <v>-85000</v>
      </c>
    </row>
    <row r="21" customFormat="false" ht="15" hidden="false" customHeight="false" outlineLevel="0" collapsed="false">
      <c r="B21" s="17" t="s">
        <v>148</v>
      </c>
      <c r="C21" s="18" t="n">
        <f aca="false">SUM(C18:C20)</f>
        <v>-85000</v>
      </c>
      <c r="D21" s="18" t="n">
        <f aca="false">SUM(D18:D20)</f>
        <v>-85000</v>
      </c>
      <c r="E21" s="18" t="n">
        <f aca="false">SUM(E18:E20)</f>
        <v>-85000</v>
      </c>
      <c r="F21" s="18" t="n">
        <f aca="false">SUM(F18:F20)</f>
        <v>-85000</v>
      </c>
      <c r="G21" s="18" t="n">
        <f aca="false">SUM(G18:G20)</f>
        <v>-85000</v>
      </c>
      <c r="H21" s="18" t="n">
        <f aca="false">SUM(H18:H20)</f>
        <v>-85000</v>
      </c>
      <c r="I21" s="18" t="n">
        <f aca="false">SUM(I18:I20)</f>
        <v>-88010</v>
      </c>
      <c r="J21" s="18" t="n">
        <f aca="false">SUM(J18:J20)</f>
        <v>-88592</v>
      </c>
      <c r="K21" s="18" t="n">
        <f aca="false">SUM(K18:K20)</f>
        <v>-89287.4</v>
      </c>
      <c r="L21" s="18" t="n">
        <f aca="false">SUM(L18:L20)</f>
        <v>-90118.43</v>
      </c>
      <c r="M21" s="18" t="n">
        <f aca="false">SUM(M18:M20)</f>
        <v>-91111.6985</v>
      </c>
      <c r="N21" s="18" t="n">
        <f aca="false">SUM(N18:N20)</f>
        <v>-92299.058075</v>
      </c>
      <c r="O21" s="18" t="n">
        <f aca="false">SUM(O18:O20)</f>
        <v>-93718.64254625</v>
      </c>
      <c r="P21" s="18" t="n">
        <f aca="false">SUM(P18:P20)</f>
        <v>-95416.1098401875</v>
      </c>
      <c r="Q21" s="18" t="n">
        <f aca="false">SUM(Q18:Q20)</f>
        <v>-97446.1314106156</v>
      </c>
      <c r="R21" s="18" t="n">
        <f aca="false">SUM(R18:R20)</f>
        <v>-99874.177235488</v>
      </c>
      <c r="S21" s="18" t="n">
        <f aca="false">SUM(S18:S20)</f>
        <v>-102778.655156747</v>
      </c>
      <c r="T21" s="18" t="n">
        <f aca="false">SUM(T18:T20)</f>
        <v>-106253.475033382</v>
      </c>
      <c r="U21" s="18" t="n">
        <f aca="false">SUM(U18:U20)</f>
        <v>-110411.122212138</v>
      </c>
      <c r="V21" s="18" t="n">
        <f aca="false">SUM(V18:V20)</f>
        <v>-115386.341652456</v>
      </c>
      <c r="W21" s="18" t="n">
        <f aca="false">SUM(W18:W20)</f>
        <v>-121340.554230521</v>
      </c>
      <c r="X21" s="18" t="n">
        <f aca="false">SUM(X18:X20)</f>
        <v>-128467.150961335</v>
      </c>
      <c r="Y21" s="18" t="n">
        <f aca="false">SUM(Y18:Y20)</f>
        <v>-136997.839921019</v>
      </c>
      <c r="Z21" s="18" t="n">
        <f aca="false">SUM(Z18:Z20)</f>
        <v>-147210.255487752</v>
      </c>
    </row>
    <row r="23" customFormat="false" ht="15" hidden="false" customHeight="false" outlineLevel="0" collapsed="false">
      <c r="B23" s="24" t="s">
        <v>149</v>
      </c>
      <c r="C23" s="25" t="n">
        <f aca="false">C15+C21</f>
        <v>-85000</v>
      </c>
      <c r="D23" s="25" t="n">
        <f aca="false">D15+D21</f>
        <v>-85000</v>
      </c>
      <c r="E23" s="25" t="n">
        <f aca="false">E15+E21</f>
        <v>-85000</v>
      </c>
      <c r="F23" s="25" t="n">
        <f aca="false">F15+F21</f>
        <v>-85000</v>
      </c>
      <c r="G23" s="25" t="n">
        <f aca="false">G15+G21</f>
        <v>-85000</v>
      </c>
      <c r="H23" s="25" t="n">
        <f aca="false">H15+H21</f>
        <v>-85000</v>
      </c>
      <c r="I23" s="25" t="n">
        <f aca="false">I15+I21</f>
        <v>-77600</v>
      </c>
      <c r="J23" s="25" t="n">
        <f aca="false">J15+J21</f>
        <v>-76400</v>
      </c>
      <c r="K23" s="25" t="n">
        <f aca="false">K15+K21</f>
        <v>-75002</v>
      </c>
      <c r="L23" s="25" t="n">
        <f aca="false">L15+L21</f>
        <v>-73372.7</v>
      </c>
      <c r="M23" s="25" t="n">
        <f aca="false">M15+M21</f>
        <v>-71473.085</v>
      </c>
      <c r="N23" s="25" t="n">
        <f aca="false">N15+N21</f>
        <v>-69257.42375</v>
      </c>
      <c r="O23" s="25" t="n">
        <f aca="false">O15+O21</f>
        <v>-66672.0885125</v>
      </c>
      <c r="P23" s="25" t="n">
        <f aca="false">P15+P21</f>
        <v>-63654.163229375</v>
      </c>
      <c r="Q23" s="25" t="n">
        <f aca="false">Q15+Q21</f>
        <v>-60129.8014417813</v>
      </c>
      <c r="R23" s="25" t="n">
        <f aca="false">R15+R21</f>
        <v>-56012.2881316485</v>
      </c>
      <c r="S23" s="25" t="n">
        <f aca="false">S15+S21</f>
        <v>-51199.7511197157</v>
      </c>
      <c r="T23" s="25" t="n">
        <f aca="false">T15+T21</f>
        <v>-45572.4575096571</v>
      </c>
      <c r="U23" s="25" t="n">
        <f aca="false">U15+U21</f>
        <v>-38989.6186024865</v>
      </c>
      <c r="V23" s="25" t="n">
        <f aca="false">V15+V21</f>
        <v>-31285.6123525164</v>
      </c>
      <c r="W23" s="25" t="n">
        <f aca="false">W15+W21</f>
        <v>-22265.5153569822</v>
      </c>
      <c r="X23" s="25" t="n">
        <f aca="false">X15+X21</f>
        <v>-11699.8160424355</v>
      </c>
      <c r="Y23" s="25" t="n">
        <f aca="false">Y15+Y21</f>
        <v>681.843492911896</v>
      </c>
      <c r="Z23" s="25" t="n">
        <f aca="false">Z15+Z21</f>
        <v>15198.078346904</v>
      </c>
    </row>
    <row r="24" customFormat="false" ht="15" hidden="false" customHeight="false" outlineLevel="0" collapsed="false">
      <c r="B24" s="24" t="s">
        <v>150</v>
      </c>
      <c r="C24" s="25" t="n">
        <f aca="false">Inputs!$C$44+C23</f>
        <v>315000</v>
      </c>
      <c r="D24" s="25" t="n">
        <f aca="false">C24+D23</f>
        <v>230000</v>
      </c>
      <c r="E24" s="25" t="n">
        <f aca="false">D24+E23</f>
        <v>145000</v>
      </c>
      <c r="F24" s="25" t="n">
        <f aca="false">E24+F23</f>
        <v>60000</v>
      </c>
      <c r="G24" s="25" t="n">
        <f aca="false">F24+G23</f>
        <v>-25000</v>
      </c>
      <c r="H24" s="25" t="n">
        <f aca="false">G24+H23</f>
        <v>-110000</v>
      </c>
      <c r="I24" s="25" t="n">
        <f aca="false">H24+I23</f>
        <v>-187600</v>
      </c>
      <c r="J24" s="25" t="n">
        <f aca="false">I24+J23</f>
        <v>-264000</v>
      </c>
      <c r="K24" s="25" t="n">
        <f aca="false">J24+K23</f>
        <v>-339002</v>
      </c>
      <c r="L24" s="25" t="n">
        <f aca="false">K24+L23</f>
        <v>-412374.7</v>
      </c>
      <c r="M24" s="25" t="n">
        <f aca="false">L24+M23</f>
        <v>-483847.785</v>
      </c>
      <c r="N24" s="25" t="n">
        <f aca="false">M24+N23</f>
        <v>-553105.20875</v>
      </c>
      <c r="O24" s="25" t="n">
        <f aca="false">N24+O23</f>
        <v>-619777.2972625</v>
      </c>
      <c r="P24" s="25" t="n">
        <f aca="false">O24+P23</f>
        <v>-683431.460491875</v>
      </c>
      <c r="Q24" s="25" t="n">
        <f aca="false">P24+Q23</f>
        <v>-743561.261933656</v>
      </c>
      <c r="R24" s="25" t="n">
        <f aca="false">Q24+R23</f>
        <v>-799573.550065305</v>
      </c>
      <c r="S24" s="25" t="n">
        <f aca="false">R24+S23</f>
        <v>-850773.301185021</v>
      </c>
      <c r="T24" s="25" t="n">
        <f aca="false">S24+T23</f>
        <v>-896345.758694678</v>
      </c>
      <c r="U24" s="25" t="n">
        <f aca="false">T24+U23</f>
        <v>-935335.377297164</v>
      </c>
      <c r="V24" s="25" t="n">
        <f aca="false">U24+V23</f>
        <v>-966620.98964968</v>
      </c>
      <c r="W24" s="25" t="n">
        <f aca="false">V24+W23</f>
        <v>-988886.505006663</v>
      </c>
      <c r="X24" s="25" t="n">
        <f aca="false">W24+X23</f>
        <v>-1000586.3210491</v>
      </c>
      <c r="Y24" s="25" t="n">
        <f aca="false">X24+Y23</f>
        <v>-999904.477556186</v>
      </c>
      <c r="Z24" s="25" t="n">
        <f aca="false">Y24+Z23</f>
        <v>-984706.399209282</v>
      </c>
    </row>
    <row r="26" customFormat="false" ht="15" hidden="false" customHeight="false" outlineLevel="0" collapsed="false">
      <c r="B26" s="7" t="s">
        <v>151</v>
      </c>
      <c r="C26" s="23"/>
    </row>
    <row r="27" customFormat="false" ht="15" hidden="false" customHeight="false" outlineLevel="0" collapsed="false">
      <c r="B27" s="8" t="s">
        <v>152</v>
      </c>
      <c r="C27" s="17" t="str">
        <f aca="false">IFERROR("M"&amp;MATCH(TRUE(),INDEX(C23:Z23&gt;0,0),0),"not within 24 months")</f>
        <v>M23</v>
      </c>
    </row>
    <row r="28" customFormat="false" ht="15" hidden="false" customHeight="false" outlineLevel="0" collapsed="false">
      <c r="B28" s="8" t="s">
        <v>153</v>
      </c>
      <c r="C28" s="18" t="n">
        <f aca="false">Z24</f>
        <v>-984706.399209282</v>
      </c>
    </row>
    <row r="29" customFormat="false" ht="15" hidden="false" customHeight="false" outlineLevel="0" collapsed="false">
      <c r="B29" s="8" t="s">
        <v>154</v>
      </c>
      <c r="C29" s="18" t="n">
        <f aca="false">MIN(C24:Z24)</f>
        <v>-1000586.3210491</v>
      </c>
    </row>
    <row r="30" customFormat="false" ht="15" hidden="false" customHeight="false" outlineLevel="0" collapsed="false">
      <c r="B30" s="8" t="s">
        <v>155</v>
      </c>
      <c r="C30" s="18" t="n">
        <f aca="false">Z15</f>
        <v>162408.333834656</v>
      </c>
    </row>
    <row r="31" customFormat="false" ht="15" hidden="false" customHeight="false" outlineLevel="0" collapsed="false">
      <c r="B31" s="8" t="s">
        <v>156</v>
      </c>
      <c r="C31" s="26" t="n">
        <f aca="false">IFERROR(Z15/Inputs!$C$45,0)</f>
        <v>13534.0278195547</v>
      </c>
    </row>
    <row r="32" customFormat="false" ht="15" hidden="false" customHeight="false" outlineLevel="0" collapsed="false">
      <c r="B32" s="8" t="s">
        <v>157</v>
      </c>
      <c r="C32" s="27" t="n">
        <f aca="false">SUM(C7:Z7)</f>
        <v>1153.04999763984</v>
      </c>
    </row>
    <row r="34" customFormat="false" ht="15" hidden="false" customHeight="false" outlineLevel="0" collapsed="false">
      <c r="B34" s="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2026-09-21T08:20:26Z</dcterms:created>
  <dc:creator>openpyxl</dc:creator>
  <dc:description/>
  <dc:language>en-US</dc:language>
  <cp:lastModifiedBy/>
  <dcterms:modified xsi:type="dcterms:W3CDTF">2026-09-21T08:20:26Z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